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istorical Tracking" sheetId="2" state="visible" r:id="rId2"/>
    <sheet name="Zombie Screener" sheetId="3" state="visible" r:id="rId3"/>
    <sheet name="Portfolio Allocations" sheetId="4" state="visible" r:id="rId4"/>
    <sheet name="Data Source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2F5496"/>
      <sz val="11"/>
    </font>
    <font>
      <name val="Calibri"/>
      <b val="1"/>
      <color rgb="00C00000"/>
      <sz val="12"/>
    </font>
    <font>
      <name val="Calibri"/>
      <b val="1"/>
      <sz val="12"/>
    </font>
    <font>
      <name val="Calibri"/>
      <b val="1"/>
      <color rgb="002F5496"/>
      <sz val="12"/>
    </font>
    <font>
      <name val="Calibri"/>
      <i val="1"/>
      <sz val="10"/>
    </font>
    <font>
      <b val="1"/>
      <color rgb="00FF0000"/>
    </font>
    <font>
      <b val="1"/>
      <color rgb="00FF8C00"/>
    </font>
    <font>
      <b val="1"/>
      <color rgb="00008000"/>
    </font>
    <font>
      <name val="Calibri"/>
      <b val="1"/>
      <color rgb="00FFFFFF"/>
      <sz val="10"/>
    </font>
    <font>
      <name val="Consolas"/>
      <b val="1"/>
      <sz val="10"/>
    </font>
    <font>
      <name val="Calibri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pivotButton="0" quotePrefix="0" xfId="0"/>
    <xf numFmtId="0" fontId="3" fillId="0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2" fillId="0" borderId="1" pivotButton="0" quotePrefix="0" xfId="0"/>
    <xf numFmtId="0" fontId="6" fillId="0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8" fillId="0" borderId="1" pivotButton="0" quotePrefix="0" xfId="0"/>
    <xf numFmtId="0" fontId="2" fillId="5" borderId="1" pivotButton="0" quotePrefix="0" xfId="0"/>
    <xf numFmtId="0" fontId="0" fillId="0" borderId="5" pivotButton="0" quotePrefix="0" xfId="0"/>
    <xf numFmtId="0" fontId="1" fillId="0" borderId="0" pivotButton="0" quotePrefix="0" xfId="0"/>
    <xf numFmtId="0" fontId="9" fillId="0" borderId="0" pivotButton="0" quotePrefix="0" xfId="0"/>
    <xf numFmtId="0" fontId="5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9" fontId="3" fillId="0" borderId="1" pivotButton="0" quotePrefix="0" xfId="0"/>
    <xf numFmtId="9" fontId="3" fillId="5" borderId="1" pivotButton="0" quotePrefix="0" xfId="0"/>
    <xf numFmtId="9" fontId="3" fillId="2" borderId="1" pivotButton="0" quotePrefix="0" xfId="0"/>
    <xf numFmtId="0" fontId="3" fillId="3" borderId="1" pivotButton="0" quotePrefix="0" xfId="0"/>
    <xf numFmtId="9" fontId="13" fillId="3" borderId="1" pivotButton="0" quotePrefix="0" xfId="0"/>
    <xf numFmtId="0" fontId="6" fillId="0" borderId="0" pivotButton="0" quotePrefix="0" xfId="0"/>
    <xf numFmtId="0" fontId="14" fillId="0" borderId="1" pivotButton="0" quotePrefix="0" xfId="0"/>
    <xf numFmtId="0" fontId="15" fillId="0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ont>
        <b val="1"/>
      </font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30" customWidth="1" min="5" max="5"/>
  </cols>
  <sheetData>
    <row r="1">
      <c r="A1" s="1" t="inlineStr">
        <is>
          <t>MACRO ECONOMIC MONITORING DASHBOARD</t>
        </is>
      </c>
    </row>
    <row r="2">
      <c r="A2" s="2" t="inlineStr">
        <is>
          <t>Last Updated:</t>
        </is>
      </c>
      <c r="B2" s="3" t="inlineStr">
        <is>
          <t>2026-02-08</t>
        </is>
      </c>
    </row>
    <row r="4">
      <c r="A4" s="4" t="inlineStr">
        <is>
          <t>Indicator</t>
        </is>
      </c>
      <c r="B4" s="4" t="inlineStr">
        <is>
          <t>Current Value</t>
        </is>
      </c>
      <c r="C4" s="4" t="inlineStr">
        <is>
          <t>Previous Value</t>
        </is>
      </c>
      <c r="D4" s="4" t="inlineStr">
        <is>
          <t>Signal / Threshold</t>
        </is>
      </c>
      <c r="E4" s="4" t="inlineStr">
        <is>
          <t>Status</t>
        </is>
      </c>
    </row>
    <row r="5">
      <c r="A5" s="5" t="inlineStr">
        <is>
          <t>INTEREST RATES &amp; YIELDS</t>
        </is>
      </c>
      <c r="B5" s="5" t="n"/>
      <c r="C5" s="5" t="n"/>
      <c r="D5" s="5" t="n"/>
      <c r="E5" s="5" t="n"/>
    </row>
    <row r="6">
      <c r="A6" s="6" t="inlineStr">
        <is>
          <t>Fed Funds Rate (%)</t>
        </is>
      </c>
      <c r="B6" s="3" t="n"/>
      <c r="C6" s="3" t="n"/>
      <c r="D6" s="6" t="inlineStr">
        <is>
          <t>FEDFUNDS</t>
        </is>
      </c>
      <c r="E6" s="7">
        <f>IF(B6&gt;5,"Restrictive",IF(B6&gt;2.5,"Neutral","Accommodative"))</f>
        <v/>
      </c>
    </row>
    <row r="7">
      <c r="A7" s="6" t="inlineStr">
        <is>
          <t>10-Year Treasury Yield (%)</t>
        </is>
      </c>
      <c r="B7" s="3" t="n"/>
      <c r="C7" s="3" t="n"/>
      <c r="D7" s="6" t="inlineStr">
        <is>
          <t>DGS10</t>
        </is>
      </c>
      <c r="E7" s="7">
        <f>IF(B7&gt;4.5,"High",IF(B7&gt;3,"Normal","Low"))</f>
        <v/>
      </c>
    </row>
    <row r="8">
      <c r="A8" s="6" t="inlineStr">
        <is>
          <t>2-Year Treasury Yield (%)</t>
        </is>
      </c>
      <c r="B8" s="3" t="n"/>
      <c r="C8" s="3" t="n"/>
      <c r="D8" s="6" t="inlineStr">
        <is>
          <t>DGS2</t>
        </is>
      </c>
      <c r="E8" s="7">
        <f>IF(B8&gt;4.5,"High",IF(B8&gt;3,"Normal","Low"))</f>
        <v/>
      </c>
    </row>
    <row r="9">
      <c r="A9" s="6" t="inlineStr">
        <is>
          <t>Yield Curve 10Y-2Y (bp)</t>
        </is>
      </c>
      <c r="B9" s="7">
        <f>((B7-B8)*100)</f>
        <v/>
      </c>
      <c r="C9" s="3" t="n"/>
      <c r="D9" s="6" t="inlineStr">
        <is>
          <t>IF(B9&lt;0</t>
        </is>
      </c>
      <c r="E9" s="7">
        <f>IF(B9&lt;0,"INVERTED - Recession Signal",IF(B9&lt;50,"Flat","Normal"))</f>
        <v/>
      </c>
    </row>
    <row r="10">
      <c r="A10" s="6" t="inlineStr">
        <is>
          <t>10-Year TIPS Yield (%)</t>
        </is>
      </c>
      <c r="B10" s="3" t="n"/>
      <c r="C10" s="3" t="n"/>
      <c r="D10" s="6" t="inlineStr">
        <is>
          <t>DFII10</t>
        </is>
      </c>
      <c r="E10" s="7">
        <f>IF(B10&gt;2,"Tight",IF(B10&gt;0,"Moderate","Loose"))</f>
        <v/>
      </c>
    </row>
    <row r="11">
      <c r="A11" s="6" t="inlineStr">
        <is>
          <t>10-Year Breakeven Inflation (%)</t>
        </is>
      </c>
      <c r="B11" s="3" t="n"/>
      <c r="C11" s="3" t="n"/>
      <c r="D11" s="6" t="inlineStr">
        <is>
          <t>T10YIE</t>
        </is>
      </c>
      <c r="E11" s="7">
        <f>IF(B11&gt;3,"High Inflation Expected",IF(B11&gt;2,"Normal","Low Inflation Expected"))</f>
        <v/>
      </c>
    </row>
    <row r="12">
      <c r="A12" s="5" t="inlineStr">
        <is>
          <t>REAL INTEREST RATES (Key Driver)</t>
        </is>
      </c>
      <c r="B12" s="5" t="n"/>
      <c r="C12" s="5" t="n"/>
      <c r="D12" s="5" t="n"/>
      <c r="E12" s="5" t="n"/>
    </row>
    <row r="13">
      <c r="A13" s="6" t="inlineStr">
        <is>
          <t>Real Fed Funds Rate (%)</t>
        </is>
      </c>
      <c r="B13" s="7">
        <f>(B6-B18)</f>
        <v/>
      </c>
      <c r="C13" s="3" t="n"/>
      <c r="D13" s="6" t="inlineStr">
        <is>
          <t>Auto-calculated</t>
        </is>
      </c>
      <c r="E13" s="7">
        <f>IF(B13&gt;2,"Very Tight",IF(B13&gt;0,"Tight",IF(B13&gt;-1,"Neutral","Loose")))</f>
        <v/>
      </c>
    </row>
    <row r="14">
      <c r="A14" s="6" t="inlineStr">
        <is>
          <t>Real 10Y Rate (TIPS) (%)</t>
        </is>
      </c>
      <c r="B14" s="7">
        <f>B10</f>
        <v/>
      </c>
      <c r="C14" s="3" t="n"/>
      <c r="D14" s="6" t="inlineStr">
        <is>
          <t>Auto-calculated</t>
        </is>
      </c>
      <c r="E14" s="7">
        <f>IF(B14&gt;2,"Very Tight",IF(B14&gt;0.5,"Tight",IF(B14&gt;-0.5,"Neutral","Loose")))</f>
        <v/>
      </c>
    </row>
    <row r="15">
      <c r="A15" s="6" t="inlineStr">
        <is>
          <t>Real 10Y Rate (Fisher) (%)</t>
        </is>
      </c>
      <c r="B15" s="7">
        <f>(B7-B18)</f>
        <v/>
      </c>
      <c r="C15" s="3" t="n"/>
      <c r="D15" s="6" t="inlineStr">
        <is>
          <t>Auto-calculated</t>
        </is>
      </c>
      <c r="E15" s="7">
        <f>IF(B15&gt;2,"Very Tight",IF(B15&gt;0.5,"Tight",IF(B15&gt;-0.5,"Neutral","Loose")))</f>
        <v/>
      </c>
    </row>
    <row r="17">
      <c r="A17" s="5" t="inlineStr">
        <is>
          <t>INFLATION METRICS</t>
        </is>
      </c>
      <c r="B17" s="5" t="n"/>
      <c r="C17" s="5" t="n"/>
      <c r="D17" s="5" t="n"/>
      <c r="E17" s="5" t="n"/>
    </row>
    <row r="18">
      <c r="A18" s="6" t="inlineStr">
        <is>
          <t>CPI Year-over-Year (%)</t>
        </is>
      </c>
      <c r="B18" s="3" t="n"/>
      <c r="C18" s="3" t="n"/>
      <c r="D18" s="6" t="inlineStr">
        <is>
          <t>CPIAUCSL</t>
        </is>
      </c>
      <c r="E18" s="7">
        <f>IF(B18&gt;5,"Very High",IF(B18&gt;3,"Elevated",IF(B18&gt;2,"Normal","Low")))</f>
        <v/>
      </c>
    </row>
    <row r="19">
      <c r="A19" s="6" t="inlineStr">
        <is>
          <t>Core PCE Year-over-Year (%)</t>
        </is>
      </c>
      <c r="B19" s="3" t="n"/>
      <c r="C19" s="3" t="n"/>
      <c r="D19" s="6" t="inlineStr">
        <is>
          <t>PCEPILFE</t>
        </is>
      </c>
      <c r="E19" s="7">
        <f>IF(B19&gt;4,"Very High",IF(B19&gt;2.5,"Above Target",IF(B19&gt;1.5,"At Target","Below Target")))</f>
        <v/>
      </c>
    </row>
    <row r="20">
      <c r="A20" s="6" t="inlineStr">
        <is>
          <t>CPI Month-over-Month (%)</t>
        </is>
      </c>
      <c r="B20" s="3" t="n"/>
      <c r="C20" s="3" t="n"/>
      <c r="D20" s="6" t="inlineStr">
        <is>
          <t>CPIAUCSL_MOM</t>
        </is>
      </c>
      <c r="E20" s="7">
        <f>IF(B20&gt;0.4,"Hot",IF(B20&gt;0.2,"Warm","Cool"))</f>
        <v/>
      </c>
    </row>
    <row r="21">
      <c r="A21" s="6" t="inlineStr">
        <is>
          <t>5Y5Y Forward Inflation (%)</t>
        </is>
      </c>
      <c r="B21" s="3" t="n"/>
      <c r="C21" s="3" t="n"/>
      <c r="D21" s="6" t="inlineStr">
        <is>
          <t>T5YIFR</t>
        </is>
      </c>
      <c r="E21" s="7">
        <f>IF(B21&gt;3,"Unanchored High",IF(B21&gt;2,"Anchored","Unanchored Low"))</f>
        <v/>
      </c>
    </row>
    <row r="23">
      <c r="A23" s="5" t="inlineStr">
        <is>
          <t>CREDIT CONDITIONS &amp; SPREADS</t>
        </is>
      </c>
      <c r="B23" s="5" t="n"/>
      <c r="C23" s="5" t="n"/>
      <c r="D23" s="5" t="n"/>
      <c r="E23" s="5" t="n"/>
    </row>
    <row r="24">
      <c r="A24" s="6" t="inlineStr">
        <is>
          <t>HY OAS Spread (bp)</t>
        </is>
      </c>
      <c r="B24" s="3" t="n"/>
      <c r="C24" s="3" t="n"/>
      <c r="D24" s="6" t="inlineStr">
        <is>
          <t>BAMLH0A0HYM2</t>
        </is>
      </c>
      <c r="E24" s="7">
        <f>IF(B24&gt;600,"Stress",IF(B24&gt;400,"Elevated",IF(B24&gt;300,"Normal","Tight")))</f>
        <v/>
      </c>
    </row>
    <row r="25">
      <c r="A25" s="6" t="inlineStr">
        <is>
          <t>IG OAS Spread (bp)</t>
        </is>
      </c>
      <c r="B25" s="3" t="n"/>
      <c r="C25" s="3" t="n"/>
      <c r="D25" s="6" t="inlineStr">
        <is>
          <t>BAMLC0A0CM</t>
        </is>
      </c>
      <c r="E25" s="7">
        <f>IF(B25&gt;200,"Stress",IF(B25&gt;130,"Elevated",IF(B25&gt;80,"Normal","Tight")))</f>
        <v/>
      </c>
    </row>
    <row r="26">
      <c r="A26" s="6" t="inlineStr">
        <is>
          <t>BBB-AA Spread (bp)</t>
        </is>
      </c>
      <c r="B26" s="7">
        <f>(B25-B27)</f>
        <v/>
      </c>
      <c r="C26" s="3" t="n"/>
      <c r="D26" s="6" t="inlineStr">
        <is>
          <t>Auto-calculated</t>
        </is>
      </c>
      <c r="E26" s="7">
        <f>IF(B26&gt;100,"Quality Flight",IF(B26&gt;60,"Elevated","Normal"))</f>
        <v/>
      </c>
    </row>
    <row r="27">
      <c r="A27" s="6" t="inlineStr">
        <is>
          <t>AA OAS Spread (bp)</t>
        </is>
      </c>
      <c r="B27" s="3" t="n"/>
      <c r="C27" s="3" t="n"/>
      <c r="D27" s="6" t="inlineStr">
        <is>
          <t>BAMLC0A3CA</t>
        </is>
      </c>
      <c r="E27" s="7">
        <f>IF(B27&gt;100,"Stress",IF(B27&gt;60,"Elevated","Normal"))</f>
        <v/>
      </c>
    </row>
    <row r="28">
      <c r="A28" s="6" t="inlineStr">
        <is>
          <t>TED Spread (bp)</t>
        </is>
      </c>
      <c r="B28" s="3" t="n"/>
      <c r="C28" s="3" t="n"/>
      <c r="D28" s="6" t="inlineStr">
        <is>
          <t>TEDRATE</t>
        </is>
      </c>
      <c r="E28" s="7">
        <f>IF(B28&gt;100,"Banking Stress",IF(B28&gt;50,"Elevated","Normal"))</f>
        <v/>
      </c>
    </row>
    <row r="30">
      <c r="A30" s="5" t="inlineStr">
        <is>
          <t>LABOR MARKET</t>
        </is>
      </c>
      <c r="B30" s="5" t="n"/>
      <c r="C30" s="5" t="n"/>
      <c r="D30" s="5" t="n"/>
      <c r="E30" s="5" t="n"/>
    </row>
    <row r="31">
      <c r="A31" s="6" t="inlineStr">
        <is>
          <t>Unemployment Rate (%)</t>
        </is>
      </c>
      <c r="B31" s="3" t="n"/>
      <c r="C31" s="3" t="n"/>
      <c r="D31" s="6" t="inlineStr">
        <is>
          <t>UNRATE</t>
        </is>
      </c>
      <c r="E31" s="7">
        <f>IF(B31&gt;6,"Recession",IF(B31&gt;5,"Weakening",IF(B31&gt;3.5,"Normal","Tight")))</f>
        <v/>
      </c>
    </row>
    <row r="32">
      <c r="A32" s="6" t="inlineStr">
        <is>
          <t>Nonfarm Payrolls (k)</t>
        </is>
      </c>
      <c r="B32" s="3" t="n"/>
      <c r="C32" s="3" t="n"/>
      <c r="D32" s="6" t="inlineStr">
        <is>
          <t>PAYEMS</t>
        </is>
      </c>
      <c r="E32" s="7">
        <f>IF(B32&lt;0,"Contraction",IF(B32&lt;100,"Slowing",IF(B32&lt;250,"Normal","Strong")))</f>
        <v/>
      </c>
    </row>
    <row r="33">
      <c r="A33" s="6" t="inlineStr">
        <is>
          <t>Initial Claims (k)</t>
        </is>
      </c>
      <c r="B33" s="3" t="n"/>
      <c r="C33" s="3" t="n"/>
      <c r="D33" s="6" t="inlineStr">
        <is>
          <t>ICSA</t>
        </is>
      </c>
      <c r="E33" s="7">
        <f>IF(B33&gt;300,"Recession Risk",IF(B33&gt;250,"Elevated","Normal"))</f>
        <v/>
      </c>
    </row>
    <row r="34">
      <c r="A34" s="6" t="inlineStr">
        <is>
          <t>JOLTS Openings (M)</t>
        </is>
      </c>
      <c r="B34" s="3" t="n"/>
      <c r="C34" s="3" t="n"/>
      <c r="D34" s="6" t="inlineStr">
        <is>
          <t>JTSJOL</t>
        </is>
      </c>
      <c r="E34" s="7">
        <f>IF(B34&lt;7,"Weak",IF(B34&lt;9,"Normal","Very Tight"))</f>
        <v/>
      </c>
    </row>
    <row r="36">
      <c r="A36" s="5" t="inlineStr">
        <is>
          <t>GROWTH &amp; ACTIVITY</t>
        </is>
      </c>
      <c r="B36" s="5" t="n"/>
      <c r="C36" s="5" t="n"/>
      <c r="D36" s="5" t="n"/>
      <c r="E36" s="5" t="n"/>
    </row>
    <row r="37">
      <c r="A37" s="6" t="inlineStr">
        <is>
          <t>GDP Growth QoQ Annualized (%)</t>
        </is>
      </c>
      <c r="B37" s="3" t="n"/>
      <c r="C37" s="3" t="n"/>
      <c r="D37" s="6" t="inlineStr">
        <is>
          <t>GDP</t>
        </is>
      </c>
      <c r="E37" s="7">
        <f>IF(B37&lt;0,"Contraction",IF(B37&lt;1,"Stall Speed",IF(B37&lt;3,"Normal","Strong")))</f>
        <v/>
      </c>
    </row>
    <row r="38">
      <c r="A38" s="6" t="inlineStr">
        <is>
          <t>ISM Manufacturing PMI</t>
        </is>
      </c>
      <c r="B38" s="3" t="n"/>
      <c r="C38" s="3" t="n"/>
      <c r="D38" s="6" t="inlineStr">
        <is>
          <t>MANEMP</t>
        </is>
      </c>
      <c r="E38" s="7">
        <f>IF(B38&lt;45,"Deep Contraction",IF(B38&lt;50,"Contraction",IF(B38&lt;55,"Expansion","Strong Expansion")))</f>
        <v/>
      </c>
    </row>
    <row r="39">
      <c r="A39" s="6" t="inlineStr">
        <is>
          <t>ISM Services PMI</t>
        </is>
      </c>
      <c r="B39" s="3" t="n"/>
      <c r="C39" s="3" t="n"/>
      <c r="D39" s="6" t="inlineStr">
        <is>
          <t>NMFCI</t>
        </is>
      </c>
      <c r="E39" s="7">
        <f>IF(B39&lt;45,"Deep Contraction",IF(B39&lt;50,"Contraction",IF(B39&lt;55,"Expansion","Strong Expansion")))</f>
        <v/>
      </c>
    </row>
    <row r="40">
      <c r="A40" s="6" t="inlineStr">
        <is>
          <t>Leading Economic Index (MoM %)</t>
        </is>
      </c>
      <c r="B40" s="3" t="n"/>
      <c r="C40" s="3" t="n"/>
      <c r="D40" s="6" t="inlineStr">
        <is>
          <t>LEI</t>
        </is>
      </c>
      <c r="E40" s="7">
        <f>IF(B40&lt;-0.5,"Recession Signal",IF(B40&lt;0,"Warning","Expansionary"))</f>
        <v/>
      </c>
    </row>
    <row r="42">
      <c r="A42" s="5" t="inlineStr">
        <is>
          <t>MARKET INDICATORS</t>
        </is>
      </c>
      <c r="B42" s="5" t="n"/>
      <c r="C42" s="5" t="n"/>
      <c r="D42" s="5" t="n"/>
      <c r="E42" s="5" t="n"/>
    </row>
    <row r="43">
      <c r="A43" s="6" t="inlineStr">
        <is>
          <t>S&amp;P 500 Level</t>
        </is>
      </c>
      <c r="B43" s="3" t="n"/>
      <c r="C43" s="3" t="n"/>
      <c r="D43" s="6" t="inlineStr">
        <is>
          <t>SP500</t>
        </is>
      </c>
      <c r="E43" s="7">
        <f>IF(B43&gt;B44,"Above 200 DMA","Below 200 DMA")</f>
        <v/>
      </c>
    </row>
    <row r="44">
      <c r="A44" s="6" t="inlineStr">
        <is>
          <t>S&amp;P 500 200-Day MA</t>
        </is>
      </c>
      <c r="B44" s="3" t="n"/>
      <c r="C44" s="3" t="n"/>
      <c r="D44" s="6" t="inlineStr">
        <is>
          <t>SP500_200DMA</t>
        </is>
      </c>
      <c r="E44" s="6" t="inlineStr">
        <is>
          <t>Reference level</t>
        </is>
      </c>
    </row>
    <row r="45">
      <c r="A45" s="6" t="inlineStr">
        <is>
          <t>VIX</t>
        </is>
      </c>
      <c r="B45" s="3" t="n"/>
      <c r="C45" s="3" t="n"/>
      <c r="D45" s="6" t="inlineStr">
        <is>
          <t>VIXCLS</t>
        </is>
      </c>
      <c r="E45" s="7">
        <f>IF(B45&gt;30,"Fear",IF(B45&gt;20,"Elevated",IF(B45&gt;12,"Normal","Complacent")))</f>
        <v/>
      </c>
    </row>
    <row r="47">
      <c r="A47" s="8" t="inlineStr">
        <is>
          <t>REGIME DETECTION</t>
        </is>
      </c>
      <c r="B47" s="8" t="n"/>
      <c r="C47" s="8" t="n"/>
      <c r="D47" s="8" t="n"/>
      <c r="E47" s="8" t="n"/>
    </row>
    <row r="48">
      <c r="A48" s="9" t="inlineStr">
        <is>
          <t>Inflation Score (higher = more inflationary)</t>
        </is>
      </c>
      <c r="B48" s="7">
        <f>COUNTIF(B18,"&gt;3")+COUNTIF(B19,"&gt;2.5")+COUNTIF(B11,"&gt;2.5")+COUNTIF(B21,"&gt;2.8")</f>
        <v/>
      </c>
      <c r="D48" s="6" t="inlineStr">
        <is>
          <t>0-1 = Low, 2 = Moderate, 3-4 = High</t>
        </is>
      </c>
    </row>
    <row r="49">
      <c r="A49" s="9" t="inlineStr">
        <is>
          <t>Growth Score (higher = stronger growth)</t>
        </is>
      </c>
      <c r="B49" s="7">
        <f>COUNTIF(B37,"&gt;2")+COUNTIF(B38,"&gt;50")+COUNTIF(B39,"&gt;50")+COUNTIF(B31,"&lt;5")</f>
        <v/>
      </c>
      <c r="D49" s="6" t="inlineStr">
        <is>
          <t>0-1 = Weak, 2 = Moderate, 3-4 = Strong</t>
        </is>
      </c>
    </row>
    <row r="50">
      <c r="A50" s="9" t="inlineStr">
        <is>
          <t>Credit Stress Score (higher = more stress)</t>
        </is>
      </c>
      <c r="B50" s="7">
        <f>COUNTIF(B24,"&gt;500")+COUNTIF(B25,"&gt;150")+COUNTIF(B28,"&gt;75")+COUNTIF(B45,"&gt;25")</f>
        <v/>
      </c>
      <c r="D50" s="6" t="inlineStr">
        <is>
          <t>0 = Calm, 1-2 = Elevated, 3-4 = Stress</t>
        </is>
      </c>
    </row>
    <row r="52">
      <c r="A52" s="10" t="inlineStr">
        <is>
          <t>CURRENT REGIME</t>
        </is>
      </c>
      <c r="B52" s="11">
        <f>IF(AND(B48&gt;=3,B49&gt;=2),"STAGFLATION WARNING",IF(AND(B48&gt;=3,B49&lt;=1),"STAGFLATION",IF(AND(B48&gt;=2,B49&gt;=3),"INFLATIONARY BOOM",IF(AND(B48&lt;=1,B49&gt;=3),"GOLDILOCKS",IF(AND(B48&lt;=1,B49&lt;=1),"DEFLATIONARY BUST",IF(B49&lt;=1,"SLOWDOWN",IF(B48&gt;=2,"INFLATION RISING","NORMAL / TRANSITION")))))))</f>
        <v/>
      </c>
      <c r="C52" s="12" t="n"/>
    </row>
    <row r="53">
      <c r="A53" s="13" t="inlineStr">
        <is>
          <t>INVESTMENT IMPLICATION</t>
        </is>
      </c>
      <c r="B53" s="14">
        <f>IF(B52="STAGFLATION WARNING","Reduce risk, add commodities &amp; TIPS, short zombies",IF(B52="STAGFLATION","Max defensive: commodities, TIPS, cash, short zombies",IF(B52="INFLATIONARY BOOM","Equities + commodities, short duration",IF(B52="GOLDILOCKS","Risk-on: equities, credit, moderate duration",IF(B52="DEFLATIONARY BUST","Long duration bonds, reduce equities, defensive sectors",IF(B52="SLOWDOWN","Add duration, reduce cyclicals, quality focus",IF(B52="INFLATION RISING","Short duration, add commodities, reduce bonds","Monitor closely, maintain balanced positioning")))))))</f>
        <v/>
      </c>
      <c r="C53" s="15" t="n"/>
      <c r="D53" s="15" t="n"/>
      <c r="E53" s="12" t="n"/>
    </row>
  </sheetData>
  <mergeCells count="12">
    <mergeCell ref="A30:E30"/>
    <mergeCell ref="B52:C52"/>
    <mergeCell ref="A12:E12"/>
    <mergeCell ref="B53:E53"/>
    <mergeCell ref="A42:E42"/>
    <mergeCell ref="A47:E47"/>
    <mergeCell ref="A1:E1"/>
    <mergeCell ref="A23:E23"/>
    <mergeCell ref="A5:E5"/>
    <mergeCell ref="A36:E36"/>
    <mergeCell ref="A52"/>
    <mergeCell ref="A17:E17"/>
  </mergeCells>
  <conditionalFormatting sqref="B52:C52">
    <cfRule type="expression" priority="1" dxfId="0">
      <formula>OR(B52="STAGFLATION",B52="STAGFLATION WARNING")</formula>
    </cfRule>
    <cfRule type="expression" priority="2" dxfId="1">
      <formula>B52="GOLDILOCKS"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4" t="inlineStr">
        <is>
          <t>Date</t>
        </is>
      </c>
      <c r="B1" s="4" t="inlineStr">
        <is>
          <t>Fed Funds</t>
        </is>
      </c>
      <c r="C1" s="4" t="inlineStr">
        <is>
          <t>10Y Yield</t>
        </is>
      </c>
      <c r="D1" s="4" t="inlineStr">
        <is>
          <t>10Y TIPS</t>
        </is>
      </c>
      <c r="E1" s="4" t="inlineStr">
        <is>
          <t>Breakeven</t>
        </is>
      </c>
      <c r="F1" s="4" t="inlineStr">
        <is>
          <t>CPI YoY</t>
        </is>
      </c>
      <c r="G1" s="4" t="inlineStr">
        <is>
          <t>Core PCE</t>
        </is>
      </c>
      <c r="H1" s="4" t="inlineStr">
        <is>
          <t>HY Spread</t>
        </is>
      </c>
      <c r="I1" s="4" t="inlineStr">
        <is>
          <t>IG Spread</t>
        </is>
      </c>
      <c r="J1" s="4" t="inlineStr">
        <is>
          <t>Unemployment</t>
        </is>
      </c>
      <c r="K1" s="4" t="inlineStr">
        <is>
          <t>NFP (k)</t>
        </is>
      </c>
      <c r="L1" s="4" t="inlineStr">
        <is>
          <t>GDP QoQ</t>
        </is>
      </c>
      <c r="M1" s="4" t="inlineStr">
        <is>
          <t>ISM Mfg</t>
        </is>
      </c>
      <c r="N1" s="4" t="inlineStr">
        <is>
          <t>ISM Svc</t>
        </is>
      </c>
      <c r="O1" s="4" t="inlineStr">
        <is>
          <t>VIX</t>
        </is>
      </c>
      <c r="P1" s="4" t="inlineStr">
        <is>
          <t>Yield Curve</t>
        </is>
      </c>
      <c r="Q1" s="4" t="inlineStr">
        <is>
          <t>Real Rate</t>
        </is>
      </c>
      <c r="R1" s="4" t="inlineStr">
        <is>
          <t>Regime</t>
        </is>
      </c>
    </row>
    <row r="2">
      <c r="A2">
        <f>Dashboard!B2</f>
        <v/>
      </c>
      <c r="B2">
        <f>Dashboard!B6</f>
        <v/>
      </c>
      <c r="C2">
        <f>Dashboard!B7</f>
        <v/>
      </c>
      <c r="D2">
        <f>Dashboard!B10</f>
        <v/>
      </c>
      <c r="E2">
        <f>Dashboard!B11</f>
        <v/>
      </c>
      <c r="F2">
        <f>Dashboard!B18</f>
        <v/>
      </c>
      <c r="G2">
        <f>Dashboard!B19</f>
        <v/>
      </c>
      <c r="H2">
        <f>Dashboard!B24</f>
        <v/>
      </c>
      <c r="I2">
        <f>Dashboard!B25</f>
        <v/>
      </c>
      <c r="J2">
        <f>Dashboard!B31</f>
        <v/>
      </c>
      <c r="K2">
        <f>Dashboard!B32</f>
        <v/>
      </c>
      <c r="L2">
        <f>Dashboard!B37</f>
        <v/>
      </c>
      <c r="M2">
        <f>Dashboard!B38</f>
        <v/>
      </c>
      <c r="N2">
        <f>Dashboard!B39</f>
        <v/>
      </c>
      <c r="O2">
        <f>Dashboard!B45</f>
        <v/>
      </c>
      <c r="P2">
        <f>Dashboard!B9</f>
        <v/>
      </c>
      <c r="Q2">
        <f>Dashboard!B14</f>
        <v/>
      </c>
      <c r="R2">
        <f>Dashboard!B52</f>
        <v/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0000"/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6" t="inlineStr">
        <is>
          <t>ZOMBIE COMPANY SCREENER</t>
        </is>
      </c>
    </row>
    <row r="2">
      <c r="A2" s="17" t="inlineStr">
        <is>
          <t>Identify companies that cannot cover interest payments from operating income</t>
        </is>
      </c>
    </row>
    <row r="4">
      <c r="A4" s="4" t="inlineStr">
        <is>
          <t>Company</t>
        </is>
      </c>
      <c r="B4" s="4" t="inlineStr">
        <is>
          <t>Ticker</t>
        </is>
      </c>
      <c r="C4" s="4" t="inlineStr">
        <is>
          <t>Sector</t>
        </is>
      </c>
      <c r="D4" s="4" t="inlineStr">
        <is>
          <t>Interest Coverage
(EBIT/Interest)</t>
        </is>
      </c>
      <c r="E4" s="4" t="inlineStr">
        <is>
          <t>Debt/EBITDA</t>
        </is>
      </c>
      <c r="F4" s="4" t="inlineStr">
        <is>
          <t>Free Cash Flow
($M)</t>
        </is>
      </c>
      <c r="G4" s="4" t="inlineStr">
        <is>
          <t>Debt Maturity
Wall (Year)</t>
        </is>
      </c>
      <c r="H4" s="4" t="inlineStr">
        <is>
          <t>Credit Rating</t>
        </is>
      </c>
      <c r="I4" s="4" t="inlineStr">
        <is>
          <t>CDS Spread
(bp)</t>
        </is>
      </c>
      <c r="J4" s="4" t="inlineStr">
        <is>
          <t>Zombie Score
(0-10)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7">
        <f>IF(D5="","",(IF(D5&lt;1,3,IF(D5&lt;2,2,0))+IF(E5&gt;6,2,IF(E5&gt;4,1,0))+IF(F5&lt;0,2,0)+IF(AND(G5&lt;&gt;"",(G5-YEAR(TODAY()))&lt;=2),2,0)+IF(OR(H5="CCC",H5="CC",H5="C",H5="D"),1,0)))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7">
        <f>IF(D6="","",(IF(D6&lt;1,3,IF(D6&lt;2,2,0))+IF(E6&gt;6,2,IF(E6&gt;4,1,0))+IF(F6&lt;0,2,0)+IF(AND(G6&lt;&gt;"",(G6-YEAR(TODAY()))&lt;=2),2,0)+IF(OR(H6="CCC",H6="CC",H6="C",H6="D"),1,0)))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7">
        <f>IF(D7="","",(IF(D7&lt;1,3,IF(D7&lt;2,2,0))+IF(E7&gt;6,2,IF(E7&gt;4,1,0))+IF(F7&lt;0,2,0)+IF(AND(G7&lt;&gt;"",(G7-YEAR(TODAY()))&lt;=2),2,0)+IF(OR(H7="CCC",H7="CC",H7="C",H7="D"),1,0)))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7">
        <f>IF(D8="","",(IF(D8&lt;1,3,IF(D8&lt;2,2,0))+IF(E8&gt;6,2,IF(E8&gt;4,1,0))+IF(F8&lt;0,2,0)+IF(AND(G8&lt;&gt;"",(G8-YEAR(TODAY()))&lt;=2),2,0)+IF(OR(H8="CCC",H8="CC",H8="C",H8="D"),1,0)))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7">
        <f>IF(D9="","",(IF(D9&lt;1,3,IF(D9&lt;2,2,0))+IF(E9&gt;6,2,IF(E9&gt;4,1,0))+IF(F9&lt;0,2,0)+IF(AND(G9&lt;&gt;"",(G9-YEAR(TODAY()))&lt;=2),2,0)+IF(OR(H9="CCC",H9="CC",H9="C",H9="D"),1,0)))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7">
        <f>IF(D10="","",(IF(D10&lt;1,3,IF(D10&lt;2,2,0))+IF(E10&gt;6,2,IF(E10&gt;4,1,0))+IF(F10&lt;0,2,0)+IF(AND(G10&lt;&gt;"",(G10-YEAR(TODAY()))&lt;=2),2,0)+IF(OR(H10="CCC",H10="CC",H10="C",H10="D"),1,0)))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7">
        <f>IF(D11="","",(IF(D11&lt;1,3,IF(D11&lt;2,2,0))+IF(E11&gt;6,2,IF(E11&gt;4,1,0))+IF(F11&lt;0,2,0)+IF(AND(G11&lt;&gt;"",(G11-YEAR(TODAY()))&lt;=2),2,0)+IF(OR(H11="CCC",H11="CC",H11="C",H11="D"),1,0)))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7">
        <f>IF(D12="","",(IF(D12&lt;1,3,IF(D12&lt;2,2,0))+IF(E12&gt;6,2,IF(E12&gt;4,1,0))+IF(F12&lt;0,2,0)+IF(AND(G12&lt;&gt;"",(G12-YEAR(TODAY()))&lt;=2),2,0)+IF(OR(H12="CCC",H12="CC",H12="C",H12="D"),1,0)))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7">
        <f>IF(D13="","",(IF(D13&lt;1,3,IF(D13&lt;2,2,0))+IF(E13&gt;6,2,IF(E13&gt;4,1,0))+IF(F13&lt;0,2,0)+IF(AND(G13&lt;&gt;"",(G13-YEAR(TODAY()))&lt;=2),2,0)+IF(OR(H13="CCC",H13="CC",H13="C",H13="D"),1,0)))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7">
        <f>IF(D14="","",(IF(D14&lt;1,3,IF(D14&lt;2,2,0))+IF(E14&gt;6,2,IF(E14&gt;4,1,0))+IF(F14&lt;0,2,0)+IF(AND(G14&lt;&gt;"",(G14-YEAR(TODAY()))&lt;=2),2,0)+IF(OR(H14="CCC",H14="CC",H14="C",H14="D"),1,0)))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7">
        <f>IF(D15="","",(IF(D15&lt;1,3,IF(D15&lt;2,2,0))+IF(E15&gt;6,2,IF(E15&gt;4,1,0))+IF(F15&lt;0,2,0)+IF(AND(G15&lt;&gt;"",(G15-YEAR(TODAY()))&lt;=2),2,0)+IF(OR(H15="CCC",H15="CC",H15="C",H15="D"),1,0)))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7">
        <f>IF(D16="","",(IF(D16&lt;1,3,IF(D16&lt;2,2,0))+IF(E16&gt;6,2,IF(E16&gt;4,1,0))+IF(F16&lt;0,2,0)+IF(AND(G16&lt;&gt;"",(G16-YEAR(TODAY()))&lt;=2),2,0)+IF(OR(H16="CCC",H16="CC",H16="C",H16="D"),1,0)))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7">
        <f>IF(D17="","",(IF(D17&lt;1,3,IF(D17&lt;2,2,0))+IF(E17&gt;6,2,IF(E17&gt;4,1,0))+IF(F17&lt;0,2,0)+IF(AND(G17&lt;&gt;"",(G17-YEAR(TODAY()))&lt;=2),2,0)+IF(OR(H17="CCC",H17="CC",H17="C",H17="D"),1,0)))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7">
        <f>IF(D18="","",(IF(D18&lt;1,3,IF(D18&lt;2,2,0))+IF(E18&gt;6,2,IF(E18&gt;4,1,0))+IF(F18&lt;0,2,0)+IF(AND(G18&lt;&gt;"",(G18-YEAR(TODAY()))&lt;=2),2,0)+IF(OR(H18="CCC",H18="CC",H18="C",H18="D"),1,0)))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7">
        <f>IF(D19="","",(IF(D19&lt;1,3,IF(D19&lt;2,2,0))+IF(E19&gt;6,2,IF(E19&gt;4,1,0))+IF(F19&lt;0,2,0)+IF(AND(G19&lt;&gt;"",(G19-YEAR(TODAY()))&lt;=2),2,0)+IF(OR(H19="CCC",H19="CC",H19="C",H19="D"),1,0)))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7">
        <f>IF(D20="","",(IF(D20&lt;1,3,IF(D20&lt;2,2,0))+IF(E20&gt;6,2,IF(E20&gt;4,1,0))+IF(F20&lt;0,2,0)+IF(AND(G20&lt;&gt;"",(G20-YEAR(TODAY()))&lt;=2),2,0)+IF(OR(H20="CCC",H20="CC",H20="C",H20="D"),1,0)))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7">
        <f>IF(D21="","",(IF(D21&lt;1,3,IF(D21&lt;2,2,0))+IF(E21&gt;6,2,IF(E21&gt;4,1,0))+IF(F21&lt;0,2,0)+IF(AND(G21&lt;&gt;"",(G21-YEAR(TODAY()))&lt;=2),2,0)+IF(OR(H21="CCC",H21="CC",H21="C",H21="D"),1,0)))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7">
        <f>IF(D22="","",(IF(D22&lt;1,3,IF(D22&lt;2,2,0))+IF(E22&gt;6,2,IF(E22&gt;4,1,0))+IF(F22&lt;0,2,0)+IF(AND(G22&lt;&gt;"",(G22-YEAR(TODAY()))&lt;=2),2,0)+IF(OR(H22="CCC",H22="CC",H22="C",H22="D"),1,0)))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7">
        <f>IF(D23="","",(IF(D23&lt;1,3,IF(D23&lt;2,2,0))+IF(E23&gt;6,2,IF(E23&gt;4,1,0))+IF(F23&lt;0,2,0)+IF(AND(G23&lt;&gt;"",(G23-YEAR(TODAY()))&lt;=2),2,0)+IF(OR(H23="CCC",H23="CC",H23="C",H23="D"),1,0)))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7">
        <f>IF(D24="","",(IF(D24&lt;1,3,IF(D24&lt;2,2,0))+IF(E24&gt;6,2,IF(E24&gt;4,1,0))+IF(F24&lt;0,2,0)+IF(AND(G24&lt;&gt;"",(G24-YEAR(TODAY()))&lt;=2),2,0)+IF(OR(H24="CCC",H24="CC",H24="C",H24="D"),1,0)))</f>
        <v/>
      </c>
    </row>
    <row r="26">
      <c r="A26" s="18" t="inlineStr">
        <is>
          <t>SCORING GUIDE</t>
        </is>
      </c>
    </row>
    <row r="27">
      <c r="A27" s="19" t="inlineStr">
        <is>
          <t>7-10: HIGH RISK ZOMBIE - Strong short candidate</t>
        </is>
      </c>
    </row>
    <row r="28">
      <c r="A28" s="20" t="inlineStr">
        <is>
          <t>4-6: MODERATE RISK - Watch closely, potential candidate</t>
        </is>
      </c>
    </row>
    <row r="29">
      <c r="A29" s="21" t="inlineStr">
        <is>
          <t>0-3: LOW RISK - Not a zombie, avoid shorting</t>
        </is>
      </c>
    </row>
    <row r="31">
      <c r="A31" s="2" t="inlineStr">
        <is>
          <t>Key Zombie Characteristics:</t>
        </is>
      </c>
    </row>
    <row r="32">
      <c r="A32" t="inlineStr">
        <is>
          <t xml:space="preserve">  - Interest coverage &lt; 1x for 3+ years</t>
        </is>
      </c>
    </row>
    <row r="33">
      <c r="A33" t="inlineStr">
        <is>
          <t xml:space="preserve">  - Negative free cash flow</t>
        </is>
      </c>
    </row>
    <row r="34">
      <c r="A34" t="inlineStr">
        <is>
          <t xml:space="preserve">  - Debt maturity wall within 2 years</t>
        </is>
      </c>
    </row>
    <row r="35">
      <c r="A35" t="inlineStr">
        <is>
          <t xml:space="preserve">  - Rating CCC or below</t>
        </is>
      </c>
    </row>
    <row r="36">
      <c r="A36" t="inlineStr">
        <is>
          <t xml:space="preserve">  - Rising CDS spreads</t>
        </is>
      </c>
    </row>
  </sheetData>
  <mergeCells count="3">
    <mergeCell ref="A1:J1"/>
    <mergeCell ref="A26:J26"/>
    <mergeCell ref="A2:J2"/>
  </mergeCells>
  <conditionalFormatting sqref="J5:J24">
    <cfRule type="cellIs" priority="1" operator="greaterThanOrEqual" dxfId="0">
      <formula>7</formula>
    </cfRule>
    <cfRule type="cellIs" priority="2" operator="between" dxfId="2">
      <formula>4</formula>
      <formula>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6" t="inlineStr">
        <is>
          <t>PORTFOLIO ALLOCATION BY REGIME</t>
        </is>
      </c>
    </row>
    <row r="3">
      <c r="A3" s="4" t="inlineStr">
        <is>
          <t>Asset Class</t>
        </is>
      </c>
      <c r="B3" s="4" t="inlineStr">
        <is>
          <t>GOLDILOCKS</t>
        </is>
      </c>
      <c r="C3" s="4" t="inlineStr">
        <is>
          <t>INFLATION
RISING</t>
        </is>
      </c>
      <c r="D3" s="4" t="inlineStr">
        <is>
          <t>STAGFLATION</t>
        </is>
      </c>
      <c r="E3" s="4" t="inlineStr">
        <is>
          <t>SLOWDOWN</t>
        </is>
      </c>
      <c r="F3" s="4" t="inlineStr">
        <is>
          <t>DEFLATIONARY
BUST</t>
        </is>
      </c>
      <c r="G3" s="4" t="inlineStr">
        <is>
          <t>CURRENT
RECOMMENDED</t>
        </is>
      </c>
      <c r="H3" s="4" t="inlineStr">
        <is>
          <t>YOUR
ALLOCATION</t>
        </is>
      </c>
    </row>
    <row r="4">
      <c r="A4" s="9" t="inlineStr">
        <is>
          <t>US Equities</t>
        </is>
      </c>
      <c r="B4" s="22" t="n">
        <v>0.35</v>
      </c>
      <c r="C4" s="22" t="n">
        <v>0.25</v>
      </c>
      <c r="D4" s="22" t="n">
        <v>0.1</v>
      </c>
      <c r="E4" s="22" t="n">
        <v>0.2</v>
      </c>
      <c r="F4" s="22" t="n">
        <v>0.15</v>
      </c>
      <c r="G4" s="23">
        <f>IF(Dashboard!B52="GOLDILOCKS",B4,IF(Dashboard!B52="INFLATION RISING",C4,IF(OR(Dashboard!B52="STAGFLATION",Dashboard!B52="STAGFLATION WARNING"),D4,IF(Dashboard!B52="SLOWDOWN",E4,IF(Dashboard!B52="DEFLATIONARY BUST",F4,B4)))))</f>
        <v/>
      </c>
      <c r="H4" s="24" t="n"/>
    </row>
    <row r="5">
      <c r="A5" s="9" t="inlineStr">
        <is>
          <t>Int'l Equities</t>
        </is>
      </c>
      <c r="B5" s="22" t="n">
        <v>0.15</v>
      </c>
      <c r="C5" s="22" t="n">
        <v>0.1</v>
      </c>
      <c r="D5" s="22" t="n">
        <v>0.05</v>
      </c>
      <c r="E5" s="22" t="n">
        <v>0.1</v>
      </c>
      <c r="F5" s="22" t="n">
        <v>0.05</v>
      </c>
      <c r="G5" s="23">
        <f>IF(Dashboard!B52="GOLDILOCKS",B5,IF(Dashboard!B52="INFLATION RISING",C5,IF(OR(Dashboard!B52="STAGFLATION",Dashboard!B52="STAGFLATION WARNING"),D5,IF(Dashboard!B52="SLOWDOWN",E5,IF(Dashboard!B52="DEFLATIONARY BUST",F5,B5)))))</f>
        <v/>
      </c>
      <c r="H5" s="24" t="n"/>
    </row>
    <row r="6">
      <c r="A6" s="9" t="inlineStr">
        <is>
          <t>Long-Term Bonds</t>
        </is>
      </c>
      <c r="B6" s="22" t="n">
        <v>0.15</v>
      </c>
      <c r="C6" s="22" t="n">
        <v>0.05</v>
      </c>
      <c r="D6" s="22" t="n">
        <v>0.05</v>
      </c>
      <c r="E6" s="22" t="n">
        <v>0.25</v>
      </c>
      <c r="F6" s="22" t="n">
        <v>0.35</v>
      </c>
      <c r="G6" s="23">
        <f>IF(Dashboard!B52="GOLDILOCKS",B6,IF(Dashboard!B52="INFLATION RISING",C6,IF(OR(Dashboard!B52="STAGFLATION",Dashboard!B52="STAGFLATION WARNING"),D6,IF(Dashboard!B52="SLOWDOWN",E6,IF(Dashboard!B52="DEFLATIONARY BUST",F6,B6)))))</f>
        <v/>
      </c>
      <c r="H6" s="24" t="n"/>
    </row>
    <row r="7">
      <c r="A7" s="9" t="inlineStr">
        <is>
          <t>TIPS / I-Bonds</t>
        </is>
      </c>
      <c r="B7" s="22" t="n">
        <v>0.05</v>
      </c>
      <c r="C7" s="22" t="n">
        <v>0.15</v>
      </c>
      <c r="D7" s="22" t="n">
        <v>0.2</v>
      </c>
      <c r="E7" s="22" t="n">
        <v>0.05</v>
      </c>
      <c r="F7" s="22" t="n">
        <v>0.05</v>
      </c>
      <c r="G7" s="23">
        <f>IF(Dashboard!B52="GOLDILOCKS",B7,IF(Dashboard!B52="INFLATION RISING",C7,IF(OR(Dashboard!B52="STAGFLATION",Dashboard!B52="STAGFLATION WARNING"),D7,IF(Dashboard!B52="SLOWDOWN",E7,IF(Dashboard!B52="DEFLATIONARY BUST",F7,B7)))))</f>
        <v/>
      </c>
      <c r="H7" s="24" t="n"/>
    </row>
    <row r="8">
      <c r="A8" s="9" t="inlineStr">
        <is>
          <t>Short-Term Bonds/Cash</t>
        </is>
      </c>
      <c r="B8" s="22" t="n">
        <v>0.05</v>
      </c>
      <c r="C8" s="22" t="n">
        <v>0.1</v>
      </c>
      <c r="D8" s="22" t="n">
        <v>0.15</v>
      </c>
      <c r="E8" s="22" t="n">
        <v>0.15</v>
      </c>
      <c r="F8" s="22" t="n">
        <v>0.2</v>
      </c>
      <c r="G8" s="23">
        <f>IF(Dashboard!B52="GOLDILOCKS",B8,IF(Dashboard!B52="INFLATION RISING",C8,IF(OR(Dashboard!B52="STAGFLATION",Dashboard!B52="STAGFLATION WARNING"),D8,IF(Dashboard!B52="SLOWDOWN",E8,IF(Dashboard!B52="DEFLATIONARY BUST",F8,B8)))))</f>
        <v/>
      </c>
      <c r="H8" s="24" t="n"/>
    </row>
    <row r="9">
      <c r="A9" s="9" t="inlineStr">
        <is>
          <t>Commodities</t>
        </is>
      </c>
      <c r="B9" s="22" t="n">
        <v>0.05</v>
      </c>
      <c r="C9" s="22" t="n">
        <v>0.15</v>
      </c>
      <c r="D9" s="22" t="n">
        <v>0.2</v>
      </c>
      <c r="E9" s="22" t="n">
        <v>0.05</v>
      </c>
      <c r="F9" s="22" t="n">
        <v>0</v>
      </c>
      <c r="G9" s="23">
        <f>IF(Dashboard!B52="GOLDILOCKS",B9,IF(Dashboard!B52="INFLATION RISING",C9,IF(OR(Dashboard!B52="STAGFLATION",Dashboard!B52="STAGFLATION WARNING"),D9,IF(Dashboard!B52="SLOWDOWN",E9,IF(Dashboard!B52="DEFLATIONARY BUST",F9,B9)))))</f>
        <v/>
      </c>
      <c r="H9" s="24" t="n"/>
    </row>
    <row r="10">
      <c r="A10" s="9" t="inlineStr">
        <is>
          <t>Gold</t>
        </is>
      </c>
      <c r="B10" s="22" t="n">
        <v>0.05</v>
      </c>
      <c r="C10" s="22" t="n">
        <v>0.1</v>
      </c>
      <c r="D10" s="22" t="n">
        <v>0.15</v>
      </c>
      <c r="E10" s="22" t="n">
        <v>0.1</v>
      </c>
      <c r="F10" s="22" t="n">
        <v>0.1</v>
      </c>
      <c r="G10" s="23">
        <f>IF(Dashboard!B52="GOLDILOCKS",B10,IF(Dashboard!B52="INFLATION RISING",C10,IF(OR(Dashboard!B52="STAGFLATION",Dashboard!B52="STAGFLATION WARNING"),D10,IF(Dashboard!B52="SLOWDOWN",E10,IF(Dashboard!B52="DEFLATIONARY BUST",F10,B10)))))</f>
        <v/>
      </c>
      <c r="H10" s="24" t="n"/>
    </row>
    <row r="11">
      <c r="A11" s="9" t="inlineStr">
        <is>
          <t>Real Estate (REITs)</t>
        </is>
      </c>
      <c r="B11" s="22" t="n">
        <v>0.1</v>
      </c>
      <c r="C11" s="22" t="n">
        <v>0.05</v>
      </c>
      <c r="D11" s="22" t="n">
        <v>0</v>
      </c>
      <c r="E11" s="22" t="n">
        <v>0.05</v>
      </c>
      <c r="F11" s="22" t="n">
        <v>0.05</v>
      </c>
      <c r="G11" s="23">
        <f>IF(Dashboard!B52="GOLDILOCKS",B11,IF(Dashboard!B52="INFLATION RISING",C11,IF(OR(Dashboard!B52="STAGFLATION",Dashboard!B52="STAGFLATION WARNING"),D11,IF(Dashboard!B52="SLOWDOWN",E11,IF(Dashboard!B52="DEFLATIONARY BUST",F11,B11)))))</f>
        <v/>
      </c>
      <c r="H11" s="24" t="n"/>
    </row>
    <row r="12">
      <c r="A12" s="9" t="inlineStr">
        <is>
          <t>Crypto / Alternatives</t>
        </is>
      </c>
      <c r="B12" s="22" t="n">
        <v>0.05</v>
      </c>
      <c r="C12" s="22" t="n">
        <v>0.05</v>
      </c>
      <c r="D12" s="22" t="n">
        <v>0</v>
      </c>
      <c r="E12" s="22" t="n">
        <v>0</v>
      </c>
      <c r="F12" s="22" t="n">
        <v>0</v>
      </c>
      <c r="G12" s="23">
        <f>IF(Dashboard!B52="GOLDILOCKS",B12,IF(Dashboard!B52="INFLATION RISING",C12,IF(OR(Dashboard!B52="STAGFLATION",Dashboard!B52="STAGFLATION WARNING"),D12,IF(Dashboard!B52="SLOWDOWN",E12,IF(Dashboard!B52="DEFLATIONARY BUST",F12,B12)))))</f>
        <v/>
      </c>
      <c r="H12" s="24" t="n"/>
    </row>
    <row r="13">
      <c r="A13" s="9" t="inlineStr">
        <is>
          <t>Zombie Shorts (via puts)</t>
        </is>
      </c>
      <c r="B13" s="22" t="n">
        <v>0</v>
      </c>
      <c r="C13" s="22" t="n">
        <v>0</v>
      </c>
      <c r="D13" s="22" t="n">
        <v>0.1</v>
      </c>
      <c r="E13" s="22" t="n">
        <v>0.05</v>
      </c>
      <c r="F13" s="22" t="n">
        <v>0.05</v>
      </c>
      <c r="G13" s="23">
        <f>IF(Dashboard!B52="GOLDILOCKS",B13,IF(Dashboard!B52="INFLATION RISING",C13,IF(OR(Dashboard!B52="STAGFLATION",Dashboard!B52="STAGFLATION WARNING"),D13,IF(Dashboard!B52="SLOWDOWN",E13,IF(Dashboard!B52="DEFLATIONARY BUST",F13,B13)))))</f>
        <v/>
      </c>
      <c r="H13" s="24" t="n"/>
    </row>
    <row r="14">
      <c r="A14" s="25" t="inlineStr">
        <is>
          <t>TOTAL</t>
        </is>
      </c>
      <c r="B14" s="26">
        <f>SUM(B4:B13)</f>
        <v/>
      </c>
      <c r="C14" s="26">
        <f>SUM(C4:C13)</f>
        <v/>
      </c>
      <c r="D14" s="26">
        <f>SUM(D4:D13)</f>
        <v/>
      </c>
      <c r="E14" s="26">
        <f>SUM(E4:E13)</f>
        <v/>
      </c>
      <c r="F14" s="26">
        <f>SUM(F4:F13)</f>
        <v/>
      </c>
      <c r="G14" s="26">
        <f>SUM(G4:G13)</f>
        <v/>
      </c>
      <c r="H14" s="26">
        <f>SUM(H4:H13)</f>
        <v/>
      </c>
    </row>
    <row r="16">
      <c r="A16" s="2" t="inlineStr">
        <is>
          <t>Current Detected Regime:</t>
        </is>
      </c>
      <c r="D16" s="27">
        <f>Dashboard!B52</f>
        <v/>
      </c>
    </row>
    <row r="18">
      <c r="A18" s="5" t="inlineStr">
        <is>
          <t>SUGGESTED ETFs BY ASSET CLASS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s="9" t="inlineStr">
        <is>
          <t>US Equities</t>
        </is>
      </c>
      <c r="B19" s="6" t="inlineStr">
        <is>
          <t>SPY, VOO, VTI, QQQ</t>
        </is>
      </c>
    </row>
    <row r="20">
      <c r="A20" s="9" t="inlineStr">
        <is>
          <t>Int'l Equities</t>
        </is>
      </c>
      <c r="B20" s="6" t="inlineStr">
        <is>
          <t>VXUS, EFA, VWO, IEMG</t>
        </is>
      </c>
    </row>
    <row r="21">
      <c r="A21" s="9" t="inlineStr">
        <is>
          <t>Long-Term Bonds</t>
        </is>
      </c>
      <c r="B21" s="6" t="inlineStr">
        <is>
          <t>TLT, VGLT, EDV, ZROZ</t>
        </is>
      </c>
    </row>
    <row r="22">
      <c r="A22" s="9" t="inlineStr">
        <is>
          <t>TIPS / I-Bonds</t>
        </is>
      </c>
      <c r="B22" s="6" t="inlineStr">
        <is>
          <t>TIP, SCHP, VTIP, STIP</t>
        </is>
      </c>
    </row>
    <row r="23">
      <c r="A23" s="9" t="inlineStr">
        <is>
          <t>Short-Term Bonds/Cash</t>
        </is>
      </c>
      <c r="B23" s="6" t="inlineStr">
        <is>
          <t>SHV, BIL, SGOV, VMFXX</t>
        </is>
      </c>
    </row>
    <row r="24">
      <c r="A24" s="9" t="inlineStr">
        <is>
          <t>Commodities</t>
        </is>
      </c>
      <c r="B24" s="6" t="inlineStr">
        <is>
          <t>DBC, GSG, PDBC, COMT</t>
        </is>
      </c>
    </row>
    <row r="25">
      <c r="A25" s="9" t="inlineStr">
        <is>
          <t>Gold</t>
        </is>
      </c>
      <c r="B25" s="6" t="inlineStr">
        <is>
          <t>GLD, IAU, GLDM, SGOL</t>
        </is>
      </c>
    </row>
    <row r="26">
      <c r="A26" s="9" t="inlineStr">
        <is>
          <t>Real Estate</t>
        </is>
      </c>
      <c r="B26" s="6" t="inlineStr">
        <is>
          <t>VNQ, SCHH, IYR, XLRE</t>
        </is>
      </c>
    </row>
    <row r="27">
      <c r="A27" s="9" t="inlineStr">
        <is>
          <t>Zombie Shorts</t>
        </is>
      </c>
      <c r="B27" s="6" t="inlineStr">
        <is>
          <t>Use put options on individual names</t>
        </is>
      </c>
    </row>
  </sheetData>
  <mergeCells count="12">
    <mergeCell ref="A18:H18"/>
    <mergeCell ref="B22:H22"/>
    <mergeCell ref="B26:H26"/>
    <mergeCell ref="B27:H27"/>
    <mergeCell ref="B21:H21"/>
    <mergeCell ref="B24:H24"/>
    <mergeCell ref="B25:H25"/>
    <mergeCell ref="A1:H1"/>
    <mergeCell ref="B19:H19"/>
    <mergeCell ref="B20:H20"/>
    <mergeCell ref="A16:C16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6" t="inlineStr">
        <is>
          <t>DATA SOURCES &amp; FRED SERIES CODES</t>
        </is>
      </c>
    </row>
    <row r="3">
      <c r="A3" s="4" t="inlineStr">
        <is>
          <t>Indicator</t>
        </is>
      </c>
      <c r="B3" s="4" t="inlineStr">
        <is>
          <t>FRED Code</t>
        </is>
      </c>
      <c r="C3" s="4" t="inlineStr">
        <is>
          <t>URL</t>
        </is>
      </c>
      <c r="D3" s="4" t="inlineStr">
        <is>
          <t>Update Frequency</t>
        </is>
      </c>
      <c r="E3" s="4" t="inlineStr">
        <is>
          <t>Typical Release</t>
        </is>
      </c>
    </row>
    <row r="4">
      <c r="A4" s="6" t="inlineStr">
        <is>
          <t>Fed Funds Rate</t>
        </is>
      </c>
      <c r="B4" s="28" t="inlineStr">
        <is>
          <t>FEDFUNDS</t>
        </is>
      </c>
      <c r="C4" s="29" t="inlineStr">
        <is>
          <t>https://fred.stlouisfed.org/series/FEDFUNDS</t>
        </is>
      </c>
      <c r="D4" s="6" t="inlineStr">
        <is>
          <t>Monthly</t>
        </is>
      </c>
      <c r="E4" s="6" t="inlineStr">
        <is>
          <t>1st business day</t>
        </is>
      </c>
    </row>
    <row r="5">
      <c r="A5" s="6" t="inlineStr">
        <is>
          <t>Fed Funds (Daily)</t>
        </is>
      </c>
      <c r="B5" s="28" t="inlineStr">
        <is>
          <t>DFF</t>
        </is>
      </c>
      <c r="C5" s="29" t="inlineStr">
        <is>
          <t>https://fred.stlouisfed.org/series/DFF</t>
        </is>
      </c>
      <c r="D5" s="6" t="inlineStr">
        <is>
          <t>Daily</t>
        </is>
      </c>
      <c r="E5" s="6" t="inlineStr">
        <is>
          <t>Next business day</t>
        </is>
      </c>
    </row>
    <row r="6">
      <c r="A6" s="6" t="inlineStr">
        <is>
          <t>10-Year Treasury</t>
        </is>
      </c>
      <c r="B6" s="28" t="inlineStr">
        <is>
          <t>DGS10</t>
        </is>
      </c>
      <c r="C6" s="29" t="inlineStr">
        <is>
          <t>https://fred.stlouisfed.org/series/DGS10</t>
        </is>
      </c>
      <c r="D6" s="6" t="inlineStr">
        <is>
          <t>Daily</t>
        </is>
      </c>
      <c r="E6" s="6" t="inlineStr">
        <is>
          <t>Next business day</t>
        </is>
      </c>
    </row>
    <row r="7">
      <c r="A7" s="6" t="inlineStr">
        <is>
          <t>2-Year Treasury</t>
        </is>
      </c>
      <c r="B7" s="28" t="inlineStr">
        <is>
          <t>DGS2</t>
        </is>
      </c>
      <c r="C7" s="29" t="inlineStr">
        <is>
          <t>https://fred.stlouisfed.org/series/DGS2</t>
        </is>
      </c>
      <c r="D7" s="6" t="inlineStr">
        <is>
          <t>Daily</t>
        </is>
      </c>
      <c r="E7" s="6" t="inlineStr">
        <is>
          <t>Next business day</t>
        </is>
      </c>
    </row>
    <row r="8">
      <c r="A8" s="6" t="inlineStr">
        <is>
          <t>10-Year TIPS</t>
        </is>
      </c>
      <c r="B8" s="28" t="inlineStr">
        <is>
          <t>DFII10</t>
        </is>
      </c>
      <c r="C8" s="29" t="inlineStr">
        <is>
          <t>https://fred.stlouisfed.org/series/DFII10</t>
        </is>
      </c>
      <c r="D8" s="6" t="inlineStr">
        <is>
          <t>Daily</t>
        </is>
      </c>
      <c r="E8" s="6" t="inlineStr">
        <is>
          <t>Next business day</t>
        </is>
      </c>
    </row>
    <row r="9">
      <c r="A9" s="6" t="inlineStr">
        <is>
          <t>10Y Breakeven</t>
        </is>
      </c>
      <c r="B9" s="28" t="inlineStr">
        <is>
          <t>T10YIE</t>
        </is>
      </c>
      <c r="C9" s="29" t="inlineStr">
        <is>
          <t>https://fred.stlouisfed.org/series/T10YIE</t>
        </is>
      </c>
      <c r="D9" s="6" t="inlineStr">
        <is>
          <t>Daily</t>
        </is>
      </c>
      <c r="E9" s="6" t="inlineStr">
        <is>
          <t>Next business day</t>
        </is>
      </c>
    </row>
    <row r="10">
      <c r="A10" s="6" t="inlineStr">
        <is>
          <t>5Y5Y Forward</t>
        </is>
      </c>
      <c r="B10" s="28" t="inlineStr">
        <is>
          <t>T5YIFR</t>
        </is>
      </c>
      <c r="C10" s="29" t="inlineStr">
        <is>
          <t>https://fred.stlouisfed.org/series/T5YIFR</t>
        </is>
      </c>
      <c r="D10" s="6" t="inlineStr">
        <is>
          <t>Daily</t>
        </is>
      </c>
      <c r="E10" s="6" t="inlineStr">
        <is>
          <t>Next business day</t>
        </is>
      </c>
    </row>
    <row r="11">
      <c r="A11" s="6" t="inlineStr">
        <is>
          <t>CPI YoY</t>
        </is>
      </c>
      <c r="B11" s="28" t="inlineStr">
        <is>
          <t>CPIAUCSL</t>
        </is>
      </c>
      <c r="C11" s="29" t="inlineStr">
        <is>
          <t>https://fred.stlouisfed.org/series/CPIAUCSL</t>
        </is>
      </c>
      <c r="D11" s="6" t="inlineStr">
        <is>
          <t>Monthly</t>
        </is>
      </c>
      <c r="E11" s="6" t="inlineStr">
        <is>
          <t>~13th of month</t>
        </is>
      </c>
    </row>
    <row r="12">
      <c r="A12" s="6" t="inlineStr">
        <is>
          <t>Core PCE</t>
        </is>
      </c>
      <c r="B12" s="28" t="inlineStr">
        <is>
          <t>PCEPILFE</t>
        </is>
      </c>
      <c r="C12" s="29" t="inlineStr">
        <is>
          <t>https://fred.stlouisfed.org/series/PCEPILFE</t>
        </is>
      </c>
      <c r="D12" s="6" t="inlineStr">
        <is>
          <t>Monthly</t>
        </is>
      </c>
      <c r="E12" s="6" t="inlineStr">
        <is>
          <t>~30th of month</t>
        </is>
      </c>
    </row>
    <row r="13">
      <c r="A13" s="6" t="inlineStr">
        <is>
          <t>HY OAS Spread</t>
        </is>
      </c>
      <c r="B13" s="28" t="inlineStr">
        <is>
          <t>BAMLH0A0HYM2</t>
        </is>
      </c>
      <c r="C13" s="29" t="inlineStr">
        <is>
          <t>https://fred.stlouisfed.org/series/BAMLH0A0HYM2</t>
        </is>
      </c>
      <c r="D13" s="6" t="inlineStr">
        <is>
          <t>Daily</t>
        </is>
      </c>
      <c r="E13" s="6" t="inlineStr">
        <is>
          <t>Next business day</t>
        </is>
      </c>
    </row>
    <row r="14">
      <c r="A14" s="6" t="inlineStr">
        <is>
          <t>IG OAS Spread</t>
        </is>
      </c>
      <c r="B14" s="28" t="inlineStr">
        <is>
          <t>BAMLC0A0CM</t>
        </is>
      </c>
      <c r="C14" s="29" t="inlineStr">
        <is>
          <t>https://fred.stlouisfed.org/series/BAMLC0A0CM</t>
        </is>
      </c>
      <c r="D14" s="6" t="inlineStr">
        <is>
          <t>Daily</t>
        </is>
      </c>
      <c r="E14" s="6" t="inlineStr">
        <is>
          <t>Next business day</t>
        </is>
      </c>
    </row>
    <row r="15">
      <c r="A15" s="6" t="inlineStr">
        <is>
          <t>AA OAS Spread</t>
        </is>
      </c>
      <c r="B15" s="28" t="inlineStr">
        <is>
          <t>BAMLC0A3CA</t>
        </is>
      </c>
      <c r="C15" s="29" t="inlineStr">
        <is>
          <t>https://fred.stlouisfed.org/series/BAMLC0A3CA</t>
        </is>
      </c>
      <c r="D15" s="6" t="inlineStr">
        <is>
          <t>Daily</t>
        </is>
      </c>
      <c r="E15" s="6" t="inlineStr">
        <is>
          <t>Next business day</t>
        </is>
      </c>
    </row>
    <row r="16">
      <c r="A16" s="6" t="inlineStr">
        <is>
          <t>TED Spread</t>
        </is>
      </c>
      <c r="B16" s="28" t="inlineStr">
        <is>
          <t>TEDRATE</t>
        </is>
      </c>
      <c r="C16" s="29" t="inlineStr">
        <is>
          <t>https://fred.stlouisfed.org/series/TEDRATE</t>
        </is>
      </c>
      <c r="D16" s="6" t="inlineStr">
        <is>
          <t>Daily</t>
        </is>
      </c>
      <c r="E16" s="6" t="inlineStr">
        <is>
          <t>Next business day</t>
        </is>
      </c>
    </row>
    <row r="17">
      <c r="A17" s="6" t="inlineStr">
        <is>
          <t>Unemployment</t>
        </is>
      </c>
      <c r="B17" s="28" t="inlineStr">
        <is>
          <t>UNRATE</t>
        </is>
      </c>
      <c r="C17" s="29" t="inlineStr">
        <is>
          <t>https://fred.stlouisfed.org/series/UNRATE</t>
        </is>
      </c>
      <c r="D17" s="6" t="inlineStr">
        <is>
          <t>Monthly</t>
        </is>
      </c>
      <c r="E17" s="6" t="inlineStr">
        <is>
          <t>1st Friday of month</t>
        </is>
      </c>
    </row>
    <row r="18">
      <c r="A18" s="6" t="inlineStr">
        <is>
          <t>Nonfarm Payrolls</t>
        </is>
      </c>
      <c r="B18" s="28" t="inlineStr">
        <is>
          <t>PAYEMS</t>
        </is>
      </c>
      <c r="C18" s="29" t="inlineStr">
        <is>
          <t>https://fred.stlouisfed.org/series/PAYEMS</t>
        </is>
      </c>
      <c r="D18" s="6" t="inlineStr">
        <is>
          <t>Monthly</t>
        </is>
      </c>
      <c r="E18" s="6" t="inlineStr">
        <is>
          <t>1st Friday of month</t>
        </is>
      </c>
    </row>
    <row r="19">
      <c r="A19" s="6" t="inlineStr">
        <is>
          <t>Initial Claims</t>
        </is>
      </c>
      <c r="B19" s="28" t="inlineStr">
        <is>
          <t>ICSA</t>
        </is>
      </c>
      <c r="C19" s="29" t="inlineStr">
        <is>
          <t>https://fred.stlouisfed.org/series/ICSA</t>
        </is>
      </c>
      <c r="D19" s="6" t="inlineStr">
        <is>
          <t>Weekly</t>
        </is>
      </c>
      <c r="E19" s="6" t="inlineStr">
        <is>
          <t>Every Thursday</t>
        </is>
      </c>
    </row>
    <row r="20">
      <c r="A20" s="6" t="inlineStr">
        <is>
          <t>JOLTS Openings</t>
        </is>
      </c>
      <c r="B20" s="28" t="inlineStr">
        <is>
          <t>JTSJOL</t>
        </is>
      </c>
      <c r="C20" s="29" t="inlineStr">
        <is>
          <t>https://fred.stlouisfed.org/series/JTSJOL</t>
        </is>
      </c>
      <c r="D20" s="6" t="inlineStr">
        <is>
          <t>Monthly</t>
        </is>
      </c>
      <c r="E20" s="6" t="inlineStr">
        <is>
          <t>~1 month lag</t>
        </is>
      </c>
    </row>
    <row r="21">
      <c r="A21" s="6" t="inlineStr">
        <is>
          <t>GDP QoQ</t>
        </is>
      </c>
      <c r="B21" s="28" t="inlineStr">
        <is>
          <t>GDP</t>
        </is>
      </c>
      <c r="C21" s="29" t="inlineStr">
        <is>
          <t>https://fred.stlouisfed.org/series/GDP</t>
        </is>
      </c>
      <c r="D21" s="6" t="inlineStr">
        <is>
          <t>Quarterly</t>
        </is>
      </c>
      <c r="E21" s="6" t="inlineStr">
        <is>
          <t>3 estimates/quarter</t>
        </is>
      </c>
    </row>
    <row r="22">
      <c r="A22" s="6" t="inlineStr">
        <is>
          <t>VIX</t>
        </is>
      </c>
      <c r="B22" s="28" t="inlineStr">
        <is>
          <t>VIXCLS</t>
        </is>
      </c>
      <c r="C22" s="29" t="inlineStr">
        <is>
          <t>https://fred.stlouisfed.org/series/VIXCLS</t>
        </is>
      </c>
      <c r="D22" s="6" t="inlineStr">
        <is>
          <t>Daily</t>
        </is>
      </c>
      <c r="E22" s="6" t="inlineStr">
        <is>
          <t>Next business day</t>
        </is>
      </c>
    </row>
    <row r="23">
      <c r="A23" s="6" t="inlineStr">
        <is>
          <t>S&amp;P 500</t>
        </is>
      </c>
      <c r="B23" s="28" t="inlineStr">
        <is>
          <t>SP500</t>
        </is>
      </c>
      <c r="C23" s="29" t="inlineStr">
        <is>
          <t>https://fred.stlouisfed.org/series/SP500</t>
        </is>
      </c>
      <c r="D23" s="6" t="inlineStr">
        <is>
          <t>Daily</t>
        </is>
      </c>
      <c r="E23" s="6" t="inlineStr">
        <is>
          <t>Next business day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MACRO MONITORING WORKBOOK - INSTRUCTIONS</t>
        </is>
      </c>
    </row>
    <row r="2">
      <c r="A2" s="30" t="inlineStr"/>
    </row>
    <row r="3">
      <c r="A3" s="31" t="inlineStr">
        <is>
          <t>OVERVIEW</t>
        </is>
      </c>
    </row>
    <row r="4">
      <c r="A4" s="30" t="inlineStr">
        <is>
          <t>This workbook tracks key macroeconomic indicators to detect regime changes,</t>
        </is>
      </c>
    </row>
    <row r="5">
      <c r="A5" s="30" t="inlineStr">
        <is>
          <t>assess credit conditions, and guide portfolio allocation decisions.</t>
        </is>
      </c>
    </row>
    <row r="6">
      <c r="A6" s="30" t="inlineStr">
        <is>
          <t>Based on 'The Price of Time' by Edward Chancellor.</t>
        </is>
      </c>
    </row>
    <row r="7">
      <c r="A7" s="30" t="inlineStr"/>
    </row>
    <row r="8">
      <c r="A8" s="31" t="inlineStr">
        <is>
          <t>COLOR CODING</t>
        </is>
      </c>
    </row>
    <row r="9">
      <c r="A9" s="30" t="inlineStr">
        <is>
          <t xml:space="preserve">  YELLOW cells = Data entry (enter your values here)</t>
        </is>
      </c>
    </row>
    <row r="10">
      <c r="A10" s="30" t="inlineStr">
        <is>
          <t xml:space="preserve">  GREEN cells  = Auto-calculated (formulas, do not edit)</t>
        </is>
      </c>
    </row>
    <row r="11">
      <c r="A11" s="30" t="inlineStr">
        <is>
          <t xml:space="preserve">  BLUE headers = Section headers</t>
        </is>
      </c>
    </row>
    <row r="12">
      <c r="A12" s="30" t="inlineStr">
        <is>
          <t xml:space="preserve">  RED header   = Regime detection area</t>
        </is>
      </c>
    </row>
    <row r="13">
      <c r="A13" s="30" t="inlineStr"/>
    </row>
    <row r="14">
      <c r="A14" s="31" t="inlineStr">
        <is>
          <t>HOW TO UPDATE</t>
        </is>
      </c>
    </row>
    <row r="15">
      <c r="A15" s="30" t="inlineStr">
        <is>
          <t>1. Go to the Dashboard sheet</t>
        </is>
      </c>
    </row>
    <row r="16">
      <c r="A16" s="30" t="inlineStr">
        <is>
          <t>2. Enter current values in the YELLOW cells in Column B</t>
        </is>
      </c>
    </row>
    <row r="17">
      <c r="A17" s="30" t="inlineStr">
        <is>
          <t>3. Optionally enter previous values in Column C for comparison</t>
        </is>
      </c>
    </row>
    <row r="18">
      <c r="A18" s="30" t="inlineStr">
        <is>
          <t>4. Status (Column E) updates automatically based on thresholds</t>
        </is>
      </c>
    </row>
    <row r="19">
      <c r="A19" s="30" t="inlineStr">
        <is>
          <t>5. Regime detection in rows 47-53 updates automatically</t>
        </is>
      </c>
    </row>
    <row r="20">
      <c r="A20" s="30" t="inlineStr">
        <is>
          <t>6. Check Portfolio Allocations sheet for recommended positioning</t>
        </is>
      </c>
    </row>
    <row r="21">
      <c r="A21" s="30" t="inlineStr"/>
    </row>
    <row r="22">
      <c r="A22" s="31" t="inlineStr">
        <is>
          <t>DATA SOURCES</t>
        </is>
      </c>
    </row>
    <row r="23">
      <c r="A23" s="30" t="inlineStr">
        <is>
          <t>Most data comes from FRED (Federal Reserve Economic Data).</t>
        </is>
      </c>
    </row>
    <row r="24">
      <c r="A24" s="30" t="inlineStr">
        <is>
          <t>See the 'Data Sources' sheet for all FRED series codes and URLs.</t>
        </is>
      </c>
    </row>
    <row r="25">
      <c r="A25" s="30" t="inlineStr">
        <is>
          <t>Free FRED API key: https://fred.stlouisfed.org/docs/api/api_key.html</t>
        </is>
      </c>
    </row>
    <row r="26">
      <c r="A26" s="30" t="inlineStr"/>
    </row>
    <row r="27">
      <c r="A27" s="31" t="inlineStr">
        <is>
          <t>REGIME DEFINITIONS</t>
        </is>
      </c>
    </row>
    <row r="28">
      <c r="A28" s="30" t="inlineStr">
        <is>
          <t>GOLDILOCKS: Low inflation + strong growth (risk-on)</t>
        </is>
      </c>
    </row>
    <row r="29">
      <c r="A29" s="30" t="inlineStr">
        <is>
          <t>INFLATION RISING: High inflation + strong growth (commodities)</t>
        </is>
      </c>
    </row>
    <row r="30">
      <c r="A30" s="30" t="inlineStr">
        <is>
          <t>STAGFLATION: High inflation + weak growth (defensive + shorts)</t>
        </is>
      </c>
    </row>
    <row r="31">
      <c r="A31" s="30" t="inlineStr">
        <is>
          <t>SLOWDOWN: Low inflation + weak growth (duration + quality)</t>
        </is>
      </c>
    </row>
    <row r="32">
      <c r="A32" s="30" t="inlineStr">
        <is>
          <t>DEFLATIONARY BUST: Very low inflation + contraction (max duration)</t>
        </is>
      </c>
    </row>
    <row r="33">
      <c r="A33" s="30" t="inlineStr"/>
    </row>
    <row r="34">
      <c r="A34" s="31" t="inlineStr">
        <is>
          <t>ZOMBIE SCREENER</t>
        </is>
      </c>
    </row>
    <row r="35">
      <c r="A35" s="30" t="inlineStr">
        <is>
          <t>Use the Zombie Screener sheet to evaluate potential short candidates.</t>
        </is>
      </c>
    </row>
    <row r="36">
      <c r="A36" s="30" t="inlineStr">
        <is>
          <t>Zombie Score of 7+ indicates a high-risk zombie company.</t>
        </is>
      </c>
    </row>
    <row r="37">
      <c r="A37" s="30" t="inlineStr">
        <is>
          <t>Position sizing: Max 5% of portfolio per zombie short.</t>
        </is>
      </c>
    </row>
    <row r="38">
      <c r="A38" s="30" t="inlineStr">
        <is>
          <t>Use put options for defined risk (never naked short).</t>
        </is>
      </c>
    </row>
    <row r="39">
      <c r="A39" s="30" t="inlineStr"/>
    </row>
    <row r="40">
      <c r="A40" s="31" t="inlineStr">
        <is>
          <t>TIPS</t>
        </is>
      </c>
    </row>
    <row r="41">
      <c r="A41" s="30" t="inlineStr">
        <is>
          <t>- Update at least weekly (Monday mornings recommended)</t>
        </is>
      </c>
    </row>
    <row r="42">
      <c r="A42" s="30" t="inlineStr">
        <is>
          <t>- Copy data to Historical Tracking sheet monthly</t>
        </is>
      </c>
    </row>
    <row r="43">
      <c r="A43" s="30" t="inlineStr">
        <is>
          <t>- Wait 2-4 weeks before acting on regime changes</t>
        </is>
      </c>
    </row>
    <row r="44">
      <c r="A44" s="30" t="inlineStr">
        <is>
          <t>- Cross-reference multiple indicators before trading</t>
        </is>
      </c>
    </row>
    <row r="45">
      <c r="A45" s="30" t="inlineStr">
        <is>
          <t>- The system is a guide, not a crystal 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2026-02-08T05:35:29Z</dcterms:created>
  <dcterms:modified xsi:type="dcterms:W3CDTF">2026-02-08T05:35:29Z</dcterms:modified>
</cp:coreProperties>
</file>